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OLS in SPSS (Irfan Ismail)\"/>
    </mc:Choice>
  </mc:AlternateContent>
  <xr:revisionPtr revIDLastSave="0" documentId="8_{6AAA4E20-6FAE-4630-95E0-37047D1FD3AD}" xr6:coauthVersionLast="47" xr6:coauthVersionMax="47" xr10:uidLastSave="{00000000-0000-0000-0000-000000000000}"/>
  <bookViews>
    <workbookView xWindow="-110" yWindow="-110" windowWidth="19420" windowHeight="10300" activeTab="1" xr2:uid="{6DFF3241-D8DF-41CC-BA11-C4C3659E8C43}"/>
  </bookViews>
  <sheets>
    <sheet name="Validity" sheetId="1" r:id="rId1"/>
    <sheet name="Reliabil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" i="1" l="1"/>
  <c r="E35" i="1"/>
  <c r="E34" i="1"/>
  <c r="E33" i="1"/>
  <c r="E29" i="1"/>
  <c r="E28" i="1"/>
  <c r="E25" i="1"/>
  <c r="E24" i="1"/>
  <c r="E23" i="1"/>
  <c r="E30" i="1"/>
  <c r="E22" i="1"/>
  <c r="E21" i="1"/>
  <c r="E20" i="1"/>
  <c r="E19" i="1"/>
  <c r="E18" i="1"/>
  <c r="E16" i="1"/>
  <c r="E15" i="1"/>
  <c r="E13" i="1"/>
  <c r="E6" i="1"/>
  <c r="E11" i="1"/>
  <c r="E10" i="1"/>
  <c r="E5" i="1"/>
  <c r="E4" i="1"/>
  <c r="E2" i="1"/>
  <c r="E3" i="1"/>
  <c r="E7" i="1"/>
  <c r="E8" i="1"/>
  <c r="E9" i="1"/>
  <c r="E12" i="1"/>
  <c r="E14" i="1"/>
  <c r="E17" i="1"/>
  <c r="E26" i="1"/>
  <c r="E27" i="1"/>
  <c r="E31" i="1"/>
  <c r="E32" i="1"/>
</calcChain>
</file>

<file path=xl/sharedStrings.xml><?xml version="1.0" encoding="utf-8"?>
<sst xmlns="http://schemas.openxmlformats.org/spreadsheetml/2006/main" count="87" uniqueCount="71">
  <si>
    <t>Variabel</t>
  </si>
  <si>
    <t>Item</t>
  </si>
  <si>
    <t>R</t>
  </si>
  <si>
    <t>Keterangan</t>
  </si>
  <si>
    <t>Alpha</t>
  </si>
  <si>
    <t>Reliabel</t>
  </si>
  <si>
    <t>Reward (R)</t>
  </si>
  <si>
    <t>Punishment (P)</t>
  </si>
  <si>
    <t>Motivasi Belajar (M)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</si>
  <si>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</si>
  <si>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</si>
  <si>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</si>
  <si>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</si>
  <si>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</si>
  <si>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</si>
  <si>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</si>
  <si>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</si>
  <si>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</si>
  <si>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</si>
  <si>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</si>
  <si>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</si>
  <si>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</si>
  <si>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</si>
  <si>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</si>
  <si>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</si>
  <si>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</si>
  <si>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</si>
  <si>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</si>
  <si>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</si>
  <si>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</si>
  <si>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</si>
  <si>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</si>
  <si>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</si>
  <si>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</si>
  <si>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</si>
  <si>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</si>
  <si>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</si>
  <si>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</si>
  <si>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</si>
  <si>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</si>
  <si>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</si>
  <si>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</si>
  <si>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</si>
  <si>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</si>
  <si>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p-value</t>
  </si>
  <si>
    <t>0,610**</t>
  </si>
  <si>
    <t>0,546**</t>
  </si>
  <si>
    <t>0,545**</t>
  </si>
  <si>
    <t>0,585**</t>
  </si>
  <si>
    <t>0,578**</t>
  </si>
  <si>
    <t>0,534**</t>
  </si>
  <si>
    <t>0,530**</t>
  </si>
  <si>
    <t>0,621**</t>
  </si>
  <si>
    <t>0,548**</t>
  </si>
  <si>
    <t>0,565**</t>
  </si>
  <si>
    <t>0,524**</t>
  </si>
  <si>
    <t>0,553**</t>
  </si>
  <si>
    <t>0,505**</t>
  </si>
  <si>
    <t>0,562**</t>
  </si>
  <si>
    <t>0,525**</t>
  </si>
  <si>
    <t>0,602**</t>
  </si>
  <si>
    <t>0,582**</t>
  </si>
  <si>
    <t>0,601**</t>
  </si>
  <si>
    <t>0,598**</t>
  </si>
  <si>
    <t>0,542**</t>
  </si>
  <si>
    <t>0,519**</t>
  </si>
  <si>
    <t>0,537**</t>
  </si>
  <si>
    <t>0,528**</t>
  </si>
  <si>
    <t>0,539**</t>
  </si>
  <si>
    <t>0,522**</t>
  </si>
  <si>
    <t>0,533**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</si>
</sst>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###0.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0" xfId="1"/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173" fontId="1" fillId="0" borderId="5" xfId="0" applyNumberFormat="1" applyFont="1" applyBorder="1" applyAlignment="1">
      <alignment horizontal="right" vertical="center"/>
    </xf>
    <xf numFmtId="0" fontId="5" fillId="0" borderId="0" xfId="2"/>
    <xf numFmtId="173" fontId="3" fillId="0" borderId="4" xfId="0" applyNumberFormat="1" applyFont="1" applyBorder="1" applyAlignment="1">
      <alignment horizontal="center" vertical="center"/>
    </xf>
  </cellXfs>
  <cellStyles count="3">
    <cellStyle name="Normal" xfId="0" builtinId="0"/>
    <cellStyle name="Normal_Reliability" xfId="2" xr:uid="{FF7B51A9-0DBC-4997-8430-A22A4931B70F}"/>
    <cellStyle name="Normal_Validity" xfId="1" xr:uid="{6643C5D6-E862-4EEC-83C6-6BD310173C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95DE4-2813-4969-810D-22934A663A14}">
  <dimension ref="A1:G72"/>
  <sheetViews>
    <sheetView topLeftCell="A21" workbookViewId="0">
      <selection activeCell="H34" sqref="H34"/>
    </sheetView>
  </sheetViews>
  <sheetFormatPr defaultRowHeight="14.5" x14ac:dyDescent="0.35"/>
  <cols>
    <col min="1" max="1" width="12.6328125" customWidth="1"/>
    <col min="2" max="2" width="5.81640625" customWidth="1"/>
    <col min="3" max="3" width="7.90625" bestFit="1" customWidth="1"/>
    <col min="4" max="4" width="7.36328125" bestFit="1" customWidth="1"/>
    <col min="5" max="5" width="10.90625" bestFit="1" customWidth="1"/>
  </cols>
  <sheetData>
    <row r="1" spans="1:5" ht="15.5" x14ac:dyDescent="0.35">
      <c r="A1" s="6" t="s">
        <v>0</v>
      </c>
      <c r="B1" s="6" t="s">
        <v>1</v>
      </c>
      <c r="C1" s="6" t="s">
        <v>2</v>
      </c>
      <c r="D1" s="6" t="s">
        <v>44</v>
      </c>
      <c r="E1" s="6" t="s">
        <v>3</v>
      </c>
    </row>
    <row r="2" spans="1:5" ht="16" customHeight="1" x14ac:dyDescent="0.35">
      <c r="A2" s="7" t="s">
        <v>6</v>
      </c>
      <c r="B2" s="6" t="s">
        <v>9</v>
      </c>
      <c r="C2" s="8" t="s">
        <v>45</v>
      </c>
      <c r="D2" s="9">
        <v>1.7937175929068498E-5</v>
      </c>
      <c r="E2" s="6" t="str">
        <f>IF(D2&lt;0.05,"Valid","Tidak Valid")</f>
        <v>Valid</v>
      </c>
    </row>
    <row r="3" spans="1:5" ht="15.5" x14ac:dyDescent="0.35">
      <c r="A3" s="7"/>
      <c r="B3" s="6" t="s">
        <v>10</v>
      </c>
      <c r="C3" s="8" t="s">
        <v>46</v>
      </c>
      <c r="D3" s="9">
        <v>1.8604109211876297E-4</v>
      </c>
      <c r="E3" s="6" t="str">
        <f t="shared" ref="E3:E36" si="0">IF(D3&lt;0.05,"Valid","Tidak Valid")</f>
        <v>Valid</v>
      </c>
    </row>
    <row r="4" spans="1:5" ht="15.5" x14ac:dyDescent="0.35">
      <c r="A4" s="7"/>
      <c r="B4" s="6" t="s">
        <v>11</v>
      </c>
      <c r="C4" s="8" t="s">
        <v>47</v>
      </c>
      <c r="D4" s="9">
        <v>1.9040813304209301E-4</v>
      </c>
      <c r="E4" s="6" t="str">
        <f t="shared" si="0"/>
        <v>Valid</v>
      </c>
    </row>
    <row r="5" spans="1:5" ht="15.5" x14ac:dyDescent="0.35">
      <c r="A5" s="7"/>
      <c r="B5" s="6" t="s">
        <v>12</v>
      </c>
      <c r="C5" s="8" t="s">
        <v>48</v>
      </c>
      <c r="D5" s="9">
        <v>4.7979625861480611E-5</v>
      </c>
      <c r="E5" s="6" t="str">
        <f t="shared" si="0"/>
        <v>Valid</v>
      </c>
    </row>
    <row r="6" spans="1:5" ht="15.5" x14ac:dyDescent="0.35">
      <c r="A6" s="7"/>
      <c r="B6" s="6" t="s">
        <v>13</v>
      </c>
      <c r="C6" s="8" t="s">
        <v>49</v>
      </c>
      <c r="D6" s="9">
        <v>6.0811954493860968E-5</v>
      </c>
      <c r="E6" s="6" t="str">
        <f t="shared" si="0"/>
        <v>Valid</v>
      </c>
    </row>
    <row r="7" spans="1:5" ht="15.5" x14ac:dyDescent="0.35">
      <c r="A7" s="7"/>
      <c r="B7" s="6" t="s">
        <v>14</v>
      </c>
      <c r="C7" s="8" t="s">
        <v>50</v>
      </c>
      <c r="D7" s="9">
        <v>2.6905032324204512E-4</v>
      </c>
      <c r="E7" s="6" t="str">
        <f t="shared" si="0"/>
        <v>Valid</v>
      </c>
    </row>
    <row r="8" spans="1:5" ht="15.5" x14ac:dyDescent="0.35">
      <c r="A8" s="7"/>
      <c r="B8" s="6" t="s">
        <v>15</v>
      </c>
      <c r="C8" s="8" t="s">
        <v>50</v>
      </c>
      <c r="D8" s="9">
        <v>2.7063283367355855E-4</v>
      </c>
      <c r="E8" s="6" t="str">
        <f t="shared" si="0"/>
        <v>Valid</v>
      </c>
    </row>
    <row r="9" spans="1:5" ht="15.5" x14ac:dyDescent="0.35">
      <c r="A9" s="7"/>
      <c r="B9" s="6" t="s">
        <v>16</v>
      </c>
      <c r="C9" s="8" t="s">
        <v>51</v>
      </c>
      <c r="D9" s="9">
        <v>3.0418258788042973E-4</v>
      </c>
      <c r="E9" s="6" t="str">
        <f t="shared" si="0"/>
        <v>Valid</v>
      </c>
    </row>
    <row r="10" spans="1:5" ht="15.5" x14ac:dyDescent="0.35">
      <c r="A10" s="7"/>
      <c r="B10" s="6" t="s">
        <v>17</v>
      </c>
      <c r="C10" s="8" t="s">
        <v>52</v>
      </c>
      <c r="D10" s="9">
        <v>1.1517640625996212E-5</v>
      </c>
      <c r="E10" s="6" t="str">
        <f t="shared" si="0"/>
        <v>Valid</v>
      </c>
    </row>
    <row r="11" spans="1:5" ht="15.5" x14ac:dyDescent="0.35">
      <c r="A11" s="7"/>
      <c r="B11" s="6" t="s">
        <v>18</v>
      </c>
      <c r="C11" s="8" t="s">
        <v>53</v>
      </c>
      <c r="D11" s="9">
        <v>1.7022656660633289E-4</v>
      </c>
      <c r="E11" s="6" t="str">
        <f t="shared" si="0"/>
        <v>Valid</v>
      </c>
    </row>
    <row r="12" spans="1:5" ht="16" customHeight="1" x14ac:dyDescent="0.35">
      <c r="A12" s="7" t="s">
        <v>7</v>
      </c>
      <c r="B12" s="6" t="s">
        <v>19</v>
      </c>
      <c r="C12" s="8" t="s">
        <v>54</v>
      </c>
      <c r="D12" s="9">
        <v>9.6633560671811517E-5</v>
      </c>
      <c r="E12" s="6" t="str">
        <f t="shared" si="0"/>
        <v>Valid</v>
      </c>
    </row>
    <row r="13" spans="1:5" ht="15.5" x14ac:dyDescent="0.35">
      <c r="A13" s="7"/>
      <c r="B13" s="6" t="s">
        <v>20</v>
      </c>
      <c r="C13" s="8" t="s">
        <v>55</v>
      </c>
      <c r="D13" s="9">
        <v>3.6672474334419888E-4</v>
      </c>
      <c r="E13" s="6" t="str">
        <f t="shared" si="0"/>
        <v>Valid</v>
      </c>
    </row>
    <row r="14" spans="1:5" ht="15.5" x14ac:dyDescent="0.35">
      <c r="A14" s="7"/>
      <c r="B14" s="6" t="s">
        <v>21</v>
      </c>
      <c r="C14" s="8" t="s">
        <v>56</v>
      </c>
      <c r="D14" s="9">
        <v>1.4539513248534557E-4</v>
      </c>
      <c r="E14" s="6" t="str">
        <f t="shared" si="0"/>
        <v>Valid</v>
      </c>
    </row>
    <row r="15" spans="1:5" ht="15.5" x14ac:dyDescent="0.35">
      <c r="A15" s="7"/>
      <c r="B15" s="6" t="s">
        <v>22</v>
      </c>
      <c r="C15" s="8" t="s">
        <v>57</v>
      </c>
      <c r="D15" s="9">
        <v>6.4294361964730156E-4</v>
      </c>
      <c r="E15" s="6" t="str">
        <f t="shared" si="0"/>
        <v>Valid</v>
      </c>
    </row>
    <row r="16" spans="1:5" ht="15.5" x14ac:dyDescent="0.35">
      <c r="A16" s="7"/>
      <c r="B16" s="6" t="s">
        <v>23</v>
      </c>
      <c r="C16" s="8" t="s">
        <v>54</v>
      </c>
      <c r="D16" s="9">
        <v>9.6633560671811517E-5</v>
      </c>
      <c r="E16" s="6" t="str">
        <f t="shared" si="0"/>
        <v>Valid</v>
      </c>
    </row>
    <row r="17" spans="1:7" ht="15.5" x14ac:dyDescent="0.35">
      <c r="A17" s="7"/>
      <c r="B17" s="6" t="s">
        <v>24</v>
      </c>
      <c r="C17" s="8" t="s">
        <v>58</v>
      </c>
      <c r="D17" s="9">
        <v>1.0888857784028709E-4</v>
      </c>
      <c r="E17" s="6" t="str">
        <f t="shared" si="0"/>
        <v>Valid</v>
      </c>
    </row>
    <row r="18" spans="1:7" ht="15.5" x14ac:dyDescent="0.35">
      <c r="A18" s="7"/>
      <c r="B18" s="6" t="s">
        <v>25</v>
      </c>
      <c r="C18" s="8" t="s">
        <v>59</v>
      </c>
      <c r="D18" s="9">
        <v>3.5244505853908607E-4</v>
      </c>
      <c r="E18" s="6" t="str">
        <f t="shared" si="0"/>
        <v>Valid</v>
      </c>
    </row>
    <row r="19" spans="1:7" ht="15.5" x14ac:dyDescent="0.35">
      <c r="A19" s="7"/>
      <c r="B19" s="6" t="s">
        <v>26</v>
      </c>
      <c r="C19" s="8" t="s">
        <v>59</v>
      </c>
      <c r="D19" s="9">
        <v>3.5244505853908542E-4</v>
      </c>
      <c r="E19" s="6" t="str">
        <f t="shared" si="0"/>
        <v>Valid</v>
      </c>
    </row>
    <row r="20" spans="1:7" ht="15.5" x14ac:dyDescent="0.35">
      <c r="A20" s="7"/>
      <c r="B20" s="6" t="s">
        <v>27</v>
      </c>
      <c r="C20" s="8" t="s">
        <v>60</v>
      </c>
      <c r="D20" s="9">
        <v>2.435604002130244E-5</v>
      </c>
      <c r="E20" s="6" t="str">
        <f t="shared" si="0"/>
        <v>Valid</v>
      </c>
    </row>
    <row r="21" spans="1:7" ht="15.5" x14ac:dyDescent="0.35">
      <c r="A21" s="7"/>
      <c r="B21" s="6" t="s">
        <v>28</v>
      </c>
      <c r="C21" s="8" t="s">
        <v>58</v>
      </c>
      <c r="D21" s="9">
        <v>1.088885778402869E-4</v>
      </c>
      <c r="E21" s="6" t="str">
        <f t="shared" si="0"/>
        <v>Valid</v>
      </c>
      <c r="G21" s="5"/>
    </row>
    <row r="22" spans="1:7" ht="16" customHeight="1" x14ac:dyDescent="0.35">
      <c r="A22" s="7" t="s">
        <v>8</v>
      </c>
      <c r="B22" s="6" t="s">
        <v>29</v>
      </c>
      <c r="C22" s="8" t="s">
        <v>61</v>
      </c>
      <c r="D22" s="9">
        <v>5.2065147360700476E-5</v>
      </c>
      <c r="E22" s="6" t="str">
        <f t="shared" si="0"/>
        <v>Valid</v>
      </c>
      <c r="G22" s="5"/>
    </row>
    <row r="23" spans="1:7" ht="15.5" x14ac:dyDescent="0.35">
      <c r="A23" s="7"/>
      <c r="B23" s="6" t="s">
        <v>30</v>
      </c>
      <c r="C23" s="8" t="s">
        <v>62</v>
      </c>
      <c r="D23" s="9">
        <v>2.5601358056920472E-5</v>
      </c>
      <c r="E23" s="6" t="str">
        <f t="shared" si="0"/>
        <v>Valid</v>
      </c>
      <c r="G23" s="5"/>
    </row>
    <row r="24" spans="1:7" ht="15.5" x14ac:dyDescent="0.35">
      <c r="A24" s="7"/>
      <c r="B24" s="6" t="s">
        <v>31</v>
      </c>
      <c r="C24" s="8" t="s">
        <v>49</v>
      </c>
      <c r="D24" s="9">
        <v>6.164631245107452E-5</v>
      </c>
      <c r="E24" s="6" t="str">
        <f t="shared" si="0"/>
        <v>Valid</v>
      </c>
      <c r="G24" s="5"/>
    </row>
    <row r="25" spans="1:7" ht="15.5" x14ac:dyDescent="0.35">
      <c r="A25" s="7"/>
      <c r="B25" s="6" t="s">
        <v>32</v>
      </c>
      <c r="C25" s="8" t="s">
        <v>63</v>
      </c>
      <c r="D25" s="9">
        <v>2.8880625231779823E-5</v>
      </c>
      <c r="E25" s="6" t="str">
        <f t="shared" si="0"/>
        <v>Valid</v>
      </c>
      <c r="G25" s="5"/>
    </row>
    <row r="26" spans="1:7" ht="15.5" x14ac:dyDescent="0.35">
      <c r="A26" s="7"/>
      <c r="B26" s="6" t="s">
        <v>33</v>
      </c>
      <c r="C26" s="8" t="s">
        <v>47</v>
      </c>
      <c r="D26" s="9">
        <v>1.9099022006736539E-4</v>
      </c>
      <c r="E26" s="6" t="str">
        <f t="shared" si="0"/>
        <v>Valid</v>
      </c>
      <c r="G26" s="5"/>
    </row>
    <row r="27" spans="1:7" ht="15.5" x14ac:dyDescent="0.35">
      <c r="A27" s="7"/>
      <c r="B27" s="6" t="s">
        <v>34</v>
      </c>
      <c r="C27" s="8" t="s">
        <v>64</v>
      </c>
      <c r="D27" s="9">
        <v>2.1039938737455306E-4</v>
      </c>
      <c r="E27" s="6" t="str">
        <f t="shared" si="0"/>
        <v>Valid</v>
      </c>
      <c r="G27" s="5"/>
    </row>
    <row r="28" spans="1:7" ht="15.5" x14ac:dyDescent="0.35">
      <c r="A28" s="7"/>
      <c r="B28" s="6" t="s">
        <v>35</v>
      </c>
      <c r="C28" s="8" t="s">
        <v>49</v>
      </c>
      <c r="D28" s="9">
        <v>6.2055932145274178E-5</v>
      </c>
      <c r="E28" s="6" t="str">
        <f t="shared" si="0"/>
        <v>Valid</v>
      </c>
      <c r="G28" s="5"/>
    </row>
    <row r="29" spans="1:7" ht="15.5" x14ac:dyDescent="0.35">
      <c r="A29" s="7"/>
      <c r="B29" s="6" t="s">
        <v>36</v>
      </c>
      <c r="C29" s="8" t="s">
        <v>65</v>
      </c>
      <c r="D29" s="9">
        <v>4.285424709532134E-4</v>
      </c>
      <c r="E29" s="6" t="str">
        <f t="shared" si="0"/>
        <v>Valid</v>
      </c>
      <c r="G29" s="5"/>
    </row>
    <row r="30" spans="1:7" ht="15.5" x14ac:dyDescent="0.35">
      <c r="A30" s="7"/>
      <c r="B30" s="6" t="s">
        <v>37</v>
      </c>
      <c r="C30" s="8" t="s">
        <v>53</v>
      </c>
      <c r="D30" s="9">
        <v>1.6969331901306206E-4</v>
      </c>
      <c r="E30" s="6" t="str">
        <f t="shared" si="0"/>
        <v>Valid</v>
      </c>
      <c r="G30" s="5"/>
    </row>
    <row r="31" spans="1:7" ht="15.5" x14ac:dyDescent="0.35">
      <c r="A31" s="7"/>
      <c r="B31" s="6" t="s">
        <v>38</v>
      </c>
      <c r="C31" s="8" t="s">
        <v>66</v>
      </c>
      <c r="D31" s="9">
        <v>2.4257677555968691E-4</v>
      </c>
      <c r="E31" s="6" t="str">
        <f t="shared" si="0"/>
        <v>Valid</v>
      </c>
      <c r="G31" s="5"/>
    </row>
    <row r="32" spans="1:7" ht="15.5" x14ac:dyDescent="0.35">
      <c r="A32" s="7"/>
      <c r="B32" s="6" t="s">
        <v>39</v>
      </c>
      <c r="C32" s="8" t="s">
        <v>58</v>
      </c>
      <c r="D32" s="9">
        <v>1.0631801240555351E-4</v>
      </c>
      <c r="E32" s="6" t="str">
        <f t="shared" si="0"/>
        <v>Valid</v>
      </c>
      <c r="G32" s="5"/>
    </row>
    <row r="33" spans="1:7" ht="15.5" x14ac:dyDescent="0.35">
      <c r="A33" s="7"/>
      <c r="B33" s="6" t="s">
        <v>40</v>
      </c>
      <c r="C33" s="8" t="s">
        <v>67</v>
      </c>
      <c r="D33" s="9">
        <v>3.2832577285983415E-4</v>
      </c>
      <c r="E33" s="6" t="str">
        <f t="shared" si="0"/>
        <v>Valid</v>
      </c>
      <c r="G33" s="5"/>
    </row>
    <row r="34" spans="1:7" ht="15.5" x14ac:dyDescent="0.35">
      <c r="A34" s="7"/>
      <c r="B34" s="6" t="s">
        <v>41</v>
      </c>
      <c r="C34" s="8" t="s">
        <v>68</v>
      </c>
      <c r="D34" s="9">
        <v>2.2824035822936232E-4</v>
      </c>
      <c r="E34" s="6" t="str">
        <f t="shared" si="0"/>
        <v>Valid</v>
      </c>
      <c r="G34" s="5"/>
    </row>
    <row r="35" spans="1:7" ht="15.5" x14ac:dyDescent="0.35">
      <c r="A35" s="7"/>
      <c r="B35" s="6" t="s">
        <v>42</v>
      </c>
      <c r="C35" s="8" t="s">
        <v>69</v>
      </c>
      <c r="D35" s="9">
        <v>3.8802203422443418E-4</v>
      </c>
      <c r="E35" s="6" t="str">
        <f t="shared" si="0"/>
        <v>Valid</v>
      </c>
      <c r="G35" s="5"/>
    </row>
    <row r="36" spans="1:7" ht="15.5" x14ac:dyDescent="0.35">
      <c r="A36" s="7"/>
      <c r="B36" s="6" t="s">
        <v>43</v>
      </c>
      <c r="C36" s="8" t="s">
        <v>70</v>
      </c>
      <c r="D36" s="9">
        <v>2.8034371225243488E-4</v>
      </c>
      <c r="E36" s="6" t="str">
        <f t="shared" si="0"/>
        <v>Valid</v>
      </c>
      <c r="G36" s="5"/>
    </row>
    <row r="37" spans="1:7" x14ac:dyDescent="0.35">
      <c r="G37" s="5"/>
    </row>
    <row r="38" spans="1:7" x14ac:dyDescent="0.35">
      <c r="G38" s="5"/>
    </row>
    <row r="39" spans="1:7" x14ac:dyDescent="0.35">
      <c r="G39" s="5"/>
    </row>
    <row r="40" spans="1:7" x14ac:dyDescent="0.35">
      <c r="G40" s="5"/>
    </row>
    <row r="41" spans="1:7" x14ac:dyDescent="0.35">
      <c r="G41" s="5"/>
    </row>
    <row r="42" spans="1:7" x14ac:dyDescent="0.35">
      <c r="G42" s="5"/>
    </row>
    <row r="43" spans="1:7" x14ac:dyDescent="0.35">
      <c r="G43" s="5"/>
    </row>
    <row r="44" spans="1:7" x14ac:dyDescent="0.35">
      <c r="G44" s="5"/>
    </row>
    <row r="45" spans="1:7" x14ac:dyDescent="0.35">
      <c r="G45" s="5"/>
    </row>
    <row r="46" spans="1:7" x14ac:dyDescent="0.35">
      <c r="G46" s="5"/>
    </row>
    <row r="47" spans="1:7" x14ac:dyDescent="0.35">
      <c r="G47" s="5"/>
    </row>
    <row r="48" spans="1:7" x14ac:dyDescent="0.35">
      <c r="G48" s="5"/>
    </row>
    <row r="49" spans="7:7" x14ac:dyDescent="0.35">
      <c r="G49" s="5"/>
    </row>
    <row r="50" spans="7:7" x14ac:dyDescent="0.35">
      <c r="G50" s="5"/>
    </row>
    <row r="51" spans="7:7" x14ac:dyDescent="0.35">
      <c r="G51" s="5"/>
    </row>
    <row r="52" spans="7:7" x14ac:dyDescent="0.35">
      <c r="G52" s="5"/>
    </row>
    <row r="53" spans="7:7" x14ac:dyDescent="0.35">
      <c r="G53" s="5"/>
    </row>
    <row r="54" spans="7:7" x14ac:dyDescent="0.35">
      <c r="G54" s="5"/>
    </row>
    <row r="55" spans="7:7" x14ac:dyDescent="0.35">
      <c r="G55" s="5"/>
    </row>
    <row r="56" spans="7:7" x14ac:dyDescent="0.35">
      <c r="G56" s="5"/>
    </row>
    <row r="57" spans="7:7" x14ac:dyDescent="0.35">
      <c r="G57" s="5"/>
    </row>
    <row r="58" spans="7:7" x14ac:dyDescent="0.35">
      <c r="G58" s="5"/>
    </row>
    <row r="59" spans="7:7" x14ac:dyDescent="0.35">
      <c r="G59" s="5"/>
    </row>
    <row r="60" spans="7:7" x14ac:dyDescent="0.35">
      <c r="G60" s="5"/>
    </row>
    <row r="61" spans="7:7" x14ac:dyDescent="0.35">
      <c r="G61" s="5"/>
    </row>
    <row r="62" spans="7:7" x14ac:dyDescent="0.35">
      <c r="G62" s="5"/>
    </row>
    <row r="63" spans="7:7" x14ac:dyDescent="0.35">
      <c r="G63" s="5"/>
    </row>
    <row r="64" spans="7:7" x14ac:dyDescent="0.35">
      <c r="G64" s="5"/>
    </row>
    <row r="65" spans="7:7" x14ac:dyDescent="0.35">
      <c r="G65" s="5"/>
    </row>
    <row r="66" spans="7:7" x14ac:dyDescent="0.35">
      <c r="G66" s="5"/>
    </row>
    <row r="67" spans="7:7" x14ac:dyDescent="0.35">
      <c r="G67" s="5"/>
    </row>
    <row r="68" spans="7:7" x14ac:dyDescent="0.35">
      <c r="G68" s="5"/>
    </row>
    <row r="69" spans="7:7" x14ac:dyDescent="0.35">
      <c r="G69" s="5"/>
    </row>
    <row r="70" spans="7:7" x14ac:dyDescent="0.35">
      <c r="G70" s="5"/>
    </row>
    <row r="71" spans="7:7" x14ac:dyDescent="0.35">
      <c r="G71" s="5"/>
    </row>
    <row r="72" spans="7:7" x14ac:dyDescent="0.35">
      <c r="G72" s="5"/>
    </row>
  </sheetData>
  <mergeCells count="3">
    <mergeCell ref="A22:A36"/>
    <mergeCell ref="A2:A11"/>
    <mergeCell ref="A12:A2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42ED2-B2FC-4CCC-931C-E1DFC8D8F0CF}">
  <dimension ref="A1:E11"/>
  <sheetViews>
    <sheetView tabSelected="1" workbookViewId="0">
      <selection activeCell="F13" sqref="F13"/>
    </sheetView>
  </sheetViews>
  <sheetFormatPr defaultRowHeight="14.5" x14ac:dyDescent="0.35"/>
  <cols>
    <col min="1" max="1" width="21.08984375" bestFit="1" customWidth="1"/>
    <col min="2" max="2" width="6.453125" bestFit="1" customWidth="1"/>
    <col min="3" max="3" width="11.90625" bestFit="1" customWidth="1"/>
  </cols>
  <sheetData>
    <row r="1" spans="1:5" ht="15.5" thickBot="1" x14ac:dyDescent="0.4">
      <c r="A1" s="1" t="s">
        <v>0</v>
      </c>
      <c r="B1" s="2" t="s">
        <v>4</v>
      </c>
      <c r="C1" s="2" t="s">
        <v>3</v>
      </c>
      <c r="E1" s="10"/>
    </row>
    <row r="2" spans="1:5" ht="16" thickBot="1" x14ac:dyDescent="0.4">
      <c r="A2" s="3" t="s">
        <v>6</v>
      </c>
      <c r="B2" s="11">
        <v>0.7603125631762615</v>
      </c>
      <c r="C2" s="4" t="s">
        <v>5</v>
      </c>
      <c r="E2" s="10"/>
    </row>
    <row r="3" spans="1:5" ht="16" thickBot="1" x14ac:dyDescent="0.4">
      <c r="A3" s="3" t="s">
        <v>7</v>
      </c>
      <c r="B3" s="11">
        <v>0.74226164403562511</v>
      </c>
      <c r="C3" s="4" t="s">
        <v>5</v>
      </c>
      <c r="E3" s="10"/>
    </row>
    <row r="4" spans="1:5" ht="16" thickBot="1" x14ac:dyDescent="0.4">
      <c r="A4" s="3" t="s">
        <v>8</v>
      </c>
      <c r="B4" s="11">
        <v>0.8385176038014055</v>
      </c>
      <c r="C4" s="4" t="s">
        <v>5</v>
      </c>
      <c r="E4" s="10"/>
    </row>
    <row r="5" spans="1:5" x14ac:dyDescent="0.35">
      <c r="E5" s="10"/>
    </row>
    <row r="6" spans="1:5" x14ac:dyDescent="0.35">
      <c r="E6" s="10"/>
    </row>
    <row r="7" spans="1:5" x14ac:dyDescent="0.35">
      <c r="E7" s="10"/>
    </row>
    <row r="8" spans="1:5" x14ac:dyDescent="0.35">
      <c r="E8" s="10"/>
    </row>
    <row r="9" spans="1:5" x14ac:dyDescent="0.35">
      <c r="E9" s="10"/>
    </row>
    <row r="10" spans="1:5" x14ac:dyDescent="0.35">
      <c r="E10" s="10"/>
    </row>
    <row r="11" spans="1:5" x14ac:dyDescent="0.35">
      <c r="E1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Validity</vt:lpstr>
      <vt:lpstr>Reliability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2025-04-27T13:00:32Z</dcterms:created>
  <dcterms:modified xsi:type="dcterms:W3CDTF">2025-04-27T15:25:09Z</dcterms:modified>
</cp:coreProperties>
</file>